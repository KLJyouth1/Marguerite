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  <sheet xmlns:r="http://schemas.openxmlformats.org/officeDocument/2006/relationships" name="严重程度汇总" sheetId="2" state="visible" r:id="rId2"/>
    <sheet xmlns:r="http://schemas.openxmlformats.org/officeDocument/2006/relationships" name="修复状态汇总" sheetId="3" state="visible" r:id="rId3"/>
    <sheet xmlns:r="http://schemas.openxmlformats.org/officeDocument/2006/relationships" name="维度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AF8"/>
        <bgColor rgb="00D6EA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45" customWidth="1" min="4" max="4"/>
    <col width="14" customWidth="1" min="5" max="5"/>
    <col width="50" customWidth="1" min="6" max="6"/>
    <col width="45" customWidth="1" min="7" max="7"/>
    <col width="40" customWidth="1" min="8" max="8"/>
    <col width="10" customWidth="1" min="9" max="9"/>
  </cols>
  <sheetData>
    <row r="1" ht="30" customHeight="1">
      <c r="A1" s="1" t="inlineStr">
        <is>
          <t>问题ID</t>
        </is>
      </c>
      <c r="B1" s="1" t="inlineStr">
        <is>
          <t>严重程度</t>
        </is>
      </c>
      <c r="C1" s="1" t="inlineStr">
        <is>
          <t>维度</t>
        </is>
      </c>
      <c r="D1" s="1" t="inlineStr">
        <is>
          <t>文件路径</t>
        </is>
      </c>
      <c r="E1" s="1" t="inlineStr">
        <is>
          <t>行号</t>
        </is>
      </c>
      <c r="F1" s="1" t="inlineStr">
        <is>
          <t>问题描述</t>
        </is>
      </c>
      <c r="G1" s="1" t="inlineStr">
        <is>
          <t>修复建议</t>
        </is>
      </c>
      <c r="H1" s="1" t="inlineStr">
        <is>
          <t>验证方式</t>
        </is>
      </c>
      <c r="I1" s="1" t="inlineStr">
        <is>
          <t>修复状态</t>
        </is>
      </c>
    </row>
    <row r="2" ht="45" customHeight="1">
      <c r="A2" s="2" t="inlineStr">
        <is>
          <t>QA-001</t>
        </is>
      </c>
      <c r="B2" s="3" t="inlineStr">
        <is>
          <t>Critical</t>
        </is>
      </c>
      <c r="C2" s="2" t="inlineStr">
        <is>
          <t>Z-index</t>
        </is>
      </c>
      <c r="D2" s="2" t="inlineStr">
        <is>
          <t>webui/src/assets/base.css + webui/src/styles/control-visual-system.css</t>
        </is>
      </c>
      <c r="E2" s="2" t="inlineStr">
        <is>
          <t>566 / 859</t>
        </is>
      </c>
      <c r="F2" s="2" t="inlineStr">
        <is>
          <t>.sidebar-more-popover (z-index:210) 与 .sidebar-row-menu (z-index:210) 共用相同层级，侧栏弹出菜单可能互相遮挡</t>
        </is>
      </c>
      <c r="G2" s="2" t="inlineStr">
        <is>
          <t>将 .sidebar-row-menu 上调至 215，或 .sidebar-more-popover 下调至 205</t>
        </is>
      </c>
      <c r="H2" s="2" t="inlineStr">
        <is>
          <t>手动测试：展开 More 菜单后 hover 历史记录行操作菜单，确认两者不互相遮挡</t>
        </is>
      </c>
      <c r="I2" s="4" t="inlineStr">
        <is>
          <t>待修复</t>
        </is>
      </c>
    </row>
    <row r="3" ht="45" customHeight="1">
      <c r="A3" s="2" t="inlineStr">
        <is>
          <t>QA-002</t>
        </is>
      </c>
      <c r="B3" s="3" t="inlineStr">
        <is>
          <t>Critical</t>
        </is>
      </c>
      <c r="C3" s="2" t="inlineStr">
        <is>
          <t>Z-index</t>
        </is>
      </c>
      <c r="D3" s="2" t="inlineStr">
        <is>
          <t>webui/src/views/WallpaperView.vue + webui/src/themes/terminal/world.css</t>
        </is>
      </c>
      <c r="E3" s="2" t="inlineStr">
        <is>
          <t>178 / 38</t>
        </is>
      </c>
      <c r="F3" s="2" t="inlineStr">
        <is>
          <t>.wall-immersive (z-index:9990) 被终端主题背景 (z-index:9998) 覆盖，壁纸内容在 Terminal 主题下被遮挡</t>
        </is>
      </c>
      <c r="G3" s="2" t="inlineStr">
        <is>
          <t>将壁纸视图提升至 10000，或终端主题背景降至 900 以下</t>
        </is>
      </c>
      <c r="H3" s="2" t="inlineStr">
        <is>
          <t>切换至 Terminal 主题后进入壁纸沉浸视图，确认壁纸内容可见</t>
        </is>
      </c>
      <c r="I3" s="4" t="inlineStr">
        <is>
          <t>待修复</t>
        </is>
      </c>
    </row>
    <row r="4" ht="45" customHeight="1">
      <c r="A4" s="2" t="inlineStr">
        <is>
          <t>QA-003</t>
        </is>
      </c>
      <c r="B4" s="5" t="inlineStr">
        <is>
          <t>Warning</t>
        </is>
      </c>
      <c r="C4" s="2" t="inlineStr">
        <is>
          <t>CSS冗余</t>
        </is>
      </c>
      <c r="D4" s="2" t="inlineStr">
        <is>
          <t>webui/src/styles/chat-view.css</t>
        </is>
      </c>
      <c r="E4" s="2" t="inlineStr">
        <is>
          <t>763-775</t>
        </is>
      </c>
      <c r="F4" s="2" t="inlineStr">
        <is>
          <t>.chat-slash-desc 规则块内 min-width/overflow/text-overflow/white-space 四个属性重复定义两次</t>
        </is>
      </c>
      <c r="G4" s="2" t="inlineStr">
        <is>
          <t>删除重复的属性声明，保留第一组</t>
        </is>
      </c>
      <c r="H4" s="2" t="inlineStr">
        <is>
          <t>grep -c 'min-width: 0' chat-view.css 确认 .chat-slash-desc 块内仅出现一次</t>
        </is>
      </c>
      <c r="I4" s="6" t="inlineStr">
        <is>
          <t>已修复</t>
        </is>
      </c>
    </row>
    <row r="5" ht="45" customHeight="1">
      <c r="A5" s="2" t="inlineStr">
        <is>
          <t>QA-004</t>
        </is>
      </c>
      <c r="B5" s="5" t="inlineStr">
        <is>
          <t>Warning</t>
        </is>
      </c>
      <c r="C5" s="2" t="inlineStr">
        <is>
          <t>CSS溢出</t>
        </is>
      </c>
      <c r="D5" s="2" t="inlineStr">
        <is>
          <t>webui/src/styles/chat-view.css</t>
        </is>
      </c>
      <c r="E5" s="2" t="inlineStr">
        <is>
          <t>247-248</t>
        </is>
      </c>
      <c r="F5" s="2" t="inlineStr">
        <is>
          <t>.chat-session-chip 设 max-width:280px 但父级未声明 overflow:hidden，新增无截断子节点会撑破容器</t>
        </is>
      </c>
      <c r="G5" s="2" t="inlineStr">
        <is>
          <t>在 .chat-session-chip 上添加 overflow: hidden</t>
        </is>
      </c>
      <c r="H5" s="2" t="inlineStr">
        <is>
          <t>在 chip 内插入长文本 badge 测试不撑破 max-width</t>
        </is>
      </c>
      <c r="I5" s="4" t="inlineStr">
        <is>
          <t>待修复</t>
        </is>
      </c>
    </row>
    <row r="6" ht="45" customHeight="1">
      <c r="A6" s="2" t="inlineStr">
        <is>
          <t>QA-005</t>
        </is>
      </c>
      <c r="B6" s="5" t="inlineStr">
        <is>
          <t>Warning</t>
        </is>
      </c>
      <c r="C6" s="2" t="inlineStr">
        <is>
          <t>UI冗余</t>
        </is>
      </c>
      <c r="D6" s="2" t="inlineStr">
        <is>
          <t>webui/src/composables/useRequest.ts + webui/src/composables/useRpc.ts</t>
        </is>
      </c>
      <c r="E6" s="2" t="inlineStr">
        <is>
          <t>全文件</t>
        </is>
      </c>
      <c r="F6" s="2" t="inlineStr">
        <is>
          <t>useRequest() 与 useRpcCall() 都产出 {data,error,loading} 三元组并包装 rpc.call()，双轨 RPC 封装导致开发者难以判断该用哪个</t>
        </is>
      </c>
      <c r="G6" s="2" t="inlineStr">
        <is>
          <t>将 useRequest 重构为 useRpcCall 的薄包装，或统一入口</t>
        </is>
      </c>
      <c r="H6" s="2" t="inlineStr">
        <is>
          <t>grep -r 'useRequest\|useRpcCall' webui/src/composables/ 确认仅有单一入口</t>
        </is>
      </c>
      <c r="I6" s="4" t="inlineStr">
        <is>
          <t>待修复</t>
        </is>
      </c>
    </row>
    <row r="7" ht="45" customHeight="1">
      <c r="A7" s="2" t="inlineStr">
        <is>
          <t>QA-006</t>
        </is>
      </c>
      <c r="B7" s="5" t="inlineStr">
        <is>
          <t>Warning</t>
        </is>
      </c>
      <c r="C7" s="2" t="inlineStr">
        <is>
          <t>UI冗余</t>
        </is>
      </c>
      <c r="D7" s="2" t="inlineStr">
        <is>
          <t>webui/src/components/ConfirmModal.vue + webui/src/components/cron/CronDeleteDialog.vue</t>
        </is>
      </c>
      <c r="E7" s="2" t="inlineStr">
        <is>
          <t>全文件</t>
        </is>
      </c>
      <c r="F7" s="2" t="inlineStr">
        <is>
          <t>ConfirmModal 是通用确认弹窗，CronDeleteDialog 又独立实现删除确认 UI，未复用前者</t>
        </is>
      </c>
      <c r="G7" s="2" t="inlineStr">
        <is>
          <t>CronDeleteDialog 改为调用 ConfirmModal 并传入 title/message 回调</t>
        </is>
      </c>
      <c r="H7" s="2" t="inlineStr">
        <is>
          <t>grep 'ConfirmModal' CronDeleteDialog.vue 确认复用</t>
        </is>
      </c>
      <c r="I7" s="4" t="inlineStr">
        <is>
          <t>待修复</t>
        </is>
      </c>
    </row>
    <row r="8" ht="45" customHeight="1">
      <c r="A8" s="2" t="inlineStr">
        <is>
          <t>QA-007</t>
        </is>
      </c>
      <c r="B8" s="5" t="inlineStr">
        <is>
          <t>Warning</t>
        </is>
      </c>
      <c r="C8" s="2" t="inlineStr">
        <is>
          <t>Z-index</t>
        </is>
      </c>
      <c r="D8" s="2" t="inlineStr">
        <is>
          <t>webui/src/components/pet/DesktopPet.vue + webui/src/components/setup/SetupProviderPanel.vue</t>
        </is>
      </c>
      <c r="E8" s="2" t="inlineStr">
        <is>
          <t>663,773,922 / 1802</t>
        </is>
      </c>
      <c r="F8" s="2" t="inlineStr">
        <is>
          <t>DesktopPet z-index:400-402 与 SetupProviderPanel z-index:420 间距仅18，未给中间层级留缓冲</t>
        </is>
      </c>
      <c r="G8" s="2" t="inlineStr">
        <is>
          <t>宠物体系使用 800-850，设置/配置面板使用 900+，与 Modal 层级体系对齐</t>
        </is>
      </c>
      <c r="H8" s="2" t="inlineStr">
        <is>
          <t>grep 'z-index' DesktopPet.vue SetupProviderPanel.vue 确认层级间距充足</t>
        </is>
      </c>
      <c r="I8" s="4" t="inlineStr">
        <is>
          <t>待修复</t>
        </is>
      </c>
    </row>
    <row r="9" ht="45" customHeight="1">
      <c r="A9" s="2" t="inlineStr">
        <is>
          <t>QA-008</t>
        </is>
      </c>
      <c r="B9" s="5" t="inlineStr">
        <is>
          <t>Warning</t>
        </is>
      </c>
      <c r="C9" s="2" t="inlineStr">
        <is>
          <t>Z-index</t>
        </is>
      </c>
      <c r="D9" s="2" t="inlineStr">
        <is>
          <t>webui/src/views/AgentsView.vue + SkillsView.vue + CronView.vue + BaotaCredentialsDialog.vue</t>
        </is>
      </c>
      <c r="E9" s="2" t="inlineStr">
        <is>
          <t>820,964 / 633 / 638,1963,1993 / 190</t>
        </is>
      </c>
      <c r="F9" s="2" t="inlineStr">
        <is>
          <t>四个不同视图/组件的主覆盖层共用 z-index:1100，存在 teleport/iframe 场景下堆叠顺序不可预测风险</t>
        </is>
      </c>
      <c r="G9" s="2" t="inlineStr">
        <is>
          <t>视图级覆盖层 1000-1099，对话框/模态框 1100-1199，按域分配</t>
        </is>
      </c>
      <c r="H9" s="2" t="inlineStr">
        <is>
          <t>grep -rn 'z-index: 1100' webui/src/ 确认无跨域共用</t>
        </is>
      </c>
      <c r="I9" s="4" t="inlineStr">
        <is>
          <t>待修复</t>
        </is>
      </c>
    </row>
    <row r="10" ht="45" customHeight="1">
      <c r="A10" s="2" t="inlineStr">
        <is>
          <t>QA-009</t>
        </is>
      </c>
      <c r="B10" s="5" t="inlineStr">
        <is>
          <t>Warning</t>
        </is>
      </c>
      <c r="C10" s="2" t="inlineStr">
        <is>
          <t>Z-index</t>
        </is>
      </c>
      <c r="D10" s="2" t="inlineStr">
        <is>
          <t>webui/src/components/ModeBadge.vue + webui/src/components/UpdateBanner.vue</t>
        </is>
      </c>
      <c r="E10" s="2" t="inlineStr">
        <is>
          <t>178 / 253</t>
        </is>
      </c>
      <c r="F10" s="2" t="inlineStr">
        <is>
          <t>UpdateBanner (950) 高于 ModeBadge (900)，顶部滑入时徽章被遮挡</t>
        </is>
      </c>
      <c r="G10" s="2" t="inlineStr">
        <is>
          <t>确认产品预期或调整 ModeBadge 至 960+</t>
        </is>
      </c>
      <c r="H10" s="2" t="inlineStr">
        <is>
          <t>同时显示 ModeBadge 和 UpdateBanner 时确认视觉层级正确</t>
        </is>
      </c>
      <c r="I10" s="4" t="inlineStr">
        <is>
          <t>待修复</t>
        </is>
      </c>
    </row>
    <row r="11" ht="45" customHeight="1">
      <c r="A11" s="2" t="inlineStr">
        <is>
          <t>QA-010</t>
        </is>
      </c>
      <c r="B11" s="5" t="inlineStr">
        <is>
          <t>Warning</t>
        </is>
      </c>
      <c r="C11" s="2" t="inlineStr">
        <is>
          <t>Z-index</t>
        </is>
      </c>
      <c r="D11" s="2" t="inlineStr">
        <is>
          <t>webui/src/components/settings/SettingsDialog.vue + CommandPalette.vue + chat-shared.css</t>
        </is>
      </c>
      <c r="E11" s="2" t="inlineStr">
        <is>
          <t>779 / 548 / 12</t>
        </is>
      </c>
      <c r="F11" s="2" t="inlineStr">
        <is>
          <t>设置对话框、命令面板、交付物抽屉遮罩共用 z-index:300，设置打开时唤起 CommandPalette 会堆叠冲突</t>
        </is>
      </c>
      <c r="G11" s="2" t="inlineStr">
        <is>
          <t>CommandPalette 上调至 320，.deliv-overlay 下调至 280</t>
        </is>
      </c>
      <c r="H11" s="2" t="inlineStr">
        <is>
          <t>打开设置对话框后按快捷键唤起 CommandPalette 确认层级正确</t>
        </is>
      </c>
      <c r="I11" s="4" t="inlineStr">
        <is>
          <t>待修复</t>
        </is>
      </c>
    </row>
    <row r="12" ht="45" customHeight="1">
      <c r="A12" s="2" t="inlineStr">
        <is>
          <t>QA-011</t>
        </is>
      </c>
      <c r="B12" s="7" t="inlineStr">
        <is>
          <t>Info</t>
        </is>
      </c>
      <c r="C12" s="2" t="inlineStr">
        <is>
          <t>CSS行高</t>
        </is>
      </c>
      <c r="D12" s="2" t="inlineStr">
        <is>
          <t>webui/src/styles/control-visual-system.css</t>
        </is>
      </c>
      <c r="E12" s="2" t="inlineStr">
        <is>
          <t>31-36</t>
        </is>
      </c>
      <c r="F12" s="2" t="inlineStr">
        <is>
          <t>.control-stage__title 使用 line-height:1.05，多行标题场景下字符上下缘可能接触</t>
        </is>
      </c>
      <c r="G12" s="2" t="inlineStr">
        <is>
          <t>提高至 1.1 以上</t>
        </is>
      </c>
      <c r="H12" s="2" t="inlineStr">
        <is>
          <t>在多行标题场景下检查字符不重叠</t>
        </is>
      </c>
      <c r="I12" s="4" t="inlineStr">
        <is>
          <t>待修复</t>
        </is>
      </c>
    </row>
    <row r="13" ht="45" customHeight="1">
      <c r="A13" s="2" t="inlineStr">
        <is>
          <t>QA-012</t>
        </is>
      </c>
      <c r="B13" s="7" t="inlineStr">
        <is>
          <t>Info</t>
        </is>
      </c>
      <c r="C13" s="2" t="inlineStr">
        <is>
          <t>CSS字体</t>
        </is>
      </c>
      <c r="D13" s="2" t="inlineStr">
        <is>
          <t>webui/src/styles/settings-forms.css</t>
        </is>
      </c>
      <c r="E13" s="2" t="inlineStr">
        <is>
          <t>51,76,99,115,167</t>
        </is>
      </c>
      <c r="F13" s="2" t="inlineStr">
        <is>
          <t>多处输入控件硬编码 font-size:12px，与 design-token 体系不一致</t>
        </is>
      </c>
      <c r="G13" s="2" t="inlineStr">
        <is>
          <t>替换为 var(--fs-xs) 或对应设计令牌</t>
        </is>
      </c>
      <c r="H13" s="2" t="inlineStr">
        <is>
          <t>grep 'font-size: 12px' settings-forms.css 确认已替换</t>
        </is>
      </c>
      <c r="I13" s="4" t="inlineStr">
        <is>
          <t>待修复</t>
        </is>
      </c>
    </row>
    <row r="14" ht="45" customHeight="1">
      <c r="A14" s="2" t="inlineStr">
        <is>
          <t>QA-013</t>
        </is>
      </c>
      <c r="B14" s="7" t="inlineStr">
        <is>
          <t>Info</t>
        </is>
      </c>
      <c r="C14" s="2" t="inlineStr">
        <is>
          <t>CSS溢出</t>
        </is>
      </c>
      <c r="D14" s="2" t="inlineStr">
        <is>
          <t>webui/src/assets/base.css</t>
        </is>
      </c>
      <c r="E14" s="2" t="inlineStr">
        <is>
          <t>1854-1855</t>
        </is>
      </c>
      <c r="F14" s="2" t="inlineStr">
        <is>
          <t>.approval-inline 无 max-width 与 overflow 限制，动态长文本可能撑破容器</t>
        </is>
      </c>
      <c r="G14" s="2" t="inlineStr">
        <is>
          <t>添加 max-width 和 overflow: hidden</t>
        </is>
      </c>
      <c r="H14" s="2" t="inlineStr">
        <is>
          <t>插入超长按钮文本测试不撑破容器</t>
        </is>
      </c>
      <c r="I14" s="4" t="inlineStr">
        <is>
          <t>待修复</t>
        </is>
      </c>
    </row>
    <row r="15" ht="45" customHeight="1">
      <c r="A15" s="2" t="inlineStr">
        <is>
          <t>QA-014</t>
        </is>
      </c>
      <c r="B15" s="7" t="inlineStr">
        <is>
          <t>Info</t>
        </is>
      </c>
      <c r="C15" s="2" t="inlineStr">
        <is>
          <t>UI架构</t>
        </is>
      </c>
      <c r="D15" s="2" t="inlineStr">
        <is>
          <t>webui/</t>
        </is>
      </c>
      <c r="E15" s="2" t="inlineStr">
        <is>
          <t>-</t>
        </is>
      </c>
      <c r="F15" s="2" t="inlineStr">
        <is>
          <t>项目未引入 Tailwind CSS，采用纯 CSS 变量+全局样式表架构。这是设计选择但无法利用 utility-first 快速修复</t>
        </is>
      </c>
      <c r="G15" s="2" t="inlineStr">
        <is>
          <t>记录为设计决策，无需改动</t>
        </is>
      </c>
      <c r="H15" s="2" t="inlineStr">
        <is>
          <t>无需验证</t>
        </is>
      </c>
      <c r="I15" s="8" t="inlineStr">
        <is>
          <t>设计决策</t>
        </is>
      </c>
    </row>
    <row r="16" ht="45" customHeight="1">
      <c r="A16" s="2" t="inlineStr">
        <is>
          <t>QA-015</t>
        </is>
      </c>
      <c r="B16" s="7" t="inlineStr">
        <is>
          <t>Info</t>
        </is>
      </c>
      <c r="C16" s="2" t="inlineStr">
        <is>
          <t>UI冗余</t>
        </is>
      </c>
      <c r="D16" s="2" t="inlineStr">
        <is>
          <t>webui/src/composables/setup/useSetupCatalog.ts + webui/src/composables/useReadinessSummary.ts</t>
        </is>
      </c>
      <c r="E16" s="2" t="inlineStr">
        <is>
          <t>全文件</t>
        </is>
      </c>
      <c r="F16" s="2" t="inlineStr">
        <is>
          <t>设置健康检查逻辑分散在 setup/ 子目录和 composables/ 根目录，命名和职责边界模糊</t>
        </is>
      </c>
      <c r="G16" s="2" t="inlineStr">
        <is>
          <t>统一放入 setup/ 子目录并明确命名</t>
        </is>
      </c>
      <c r="H16" s="2" t="inlineStr">
        <is>
          <t>确认两个 composable 的目录和命名一致</t>
        </is>
      </c>
      <c r="I16" s="4" t="inlineStr">
        <is>
          <t>待修复</t>
        </is>
      </c>
    </row>
    <row r="17" ht="45" customHeight="1">
      <c r="A17" s="2" t="inlineStr">
        <is>
          <t>QA-016</t>
        </is>
      </c>
      <c r="B17" s="7" t="inlineStr">
        <is>
          <t>Info</t>
        </is>
      </c>
      <c r="C17" s="2" t="inlineStr">
        <is>
          <t>Z-index</t>
        </is>
      </c>
      <c r="D17" s="2" t="inlineStr">
        <is>
          <t>webui/src/components/chat/RunModePanel.vue + ChatComposerRunMode.vue + ChatComposerModelRouting.vue</t>
        </is>
      </c>
      <c r="E17" s="2" t="inlineStr">
        <is>
          <t>313,326 / 110 / 113</t>
        </is>
      </c>
      <c r="F17" s="2" t="inlineStr">
        <is>
          <t>RunModePanel (31) 与 ChatComposerRunMode/ModelRouting (30) 差距仅1，建议统一调整并添加注释</t>
        </is>
      </c>
      <c r="G17" s="2" t="inlineStr">
        <is>
          <t>调整为 50/40/40 并添加层级注释</t>
        </is>
      </c>
      <c r="H17" s="2" t="inlineStr">
        <is>
          <t>grep 'z-index' 三个组件确认间距充足</t>
        </is>
      </c>
      <c r="I17" s="4" t="inlineStr">
        <is>
          <t>待修复</t>
        </is>
      </c>
    </row>
    <row r="18" ht="45" customHeight="1">
      <c r="A18" s="2" t="inlineStr">
        <is>
          <t>QA-017</t>
        </is>
      </c>
      <c r="B18" s="7" t="inlineStr">
        <is>
          <t>Info</t>
        </is>
      </c>
      <c r="C18" s="2" t="inlineStr">
        <is>
          <t>Z-index</t>
        </is>
      </c>
      <c r="D18" s="2" t="inlineStr">
        <is>
          <t>webui/src/components/chat/PromptCacheKeepaliveDialog.vue</t>
        </is>
      </c>
      <c r="E18" s="2" t="inlineStr">
        <is>
          <t>341,416</t>
        </is>
      </c>
      <c r="F18" s="2" t="inlineStr">
        <is>
          <t>主对话框 z-index:1100 内部某元素 z-index:40，若 position:fixed 脱离文档流会与 sidebar(200) 发生跨层级交互</t>
        </is>
      </c>
      <c r="G18" s="2" t="inlineStr">
        <is>
          <t>确认内部元素是否需要 fixed 定位，或提升至 1100+</t>
        </is>
      </c>
      <c r="H18" s="2" t="inlineStr">
        <is>
          <t>检查 PromptCacheKeepaliveDialog 内部 fixed 元素的层级</t>
        </is>
      </c>
      <c r="I18" s="4" t="inlineStr">
        <is>
          <t>待修复</t>
        </is>
      </c>
    </row>
    <row r="19" ht="45" customHeight="1">
      <c r="A19" s="2" t="inlineStr">
        <is>
          <t>QA-018</t>
        </is>
      </c>
      <c r="B19" s="5" t="inlineStr">
        <is>
          <t>Warning</t>
        </is>
      </c>
      <c r="C19" s="2" t="inlineStr">
        <is>
          <t>后端缺陷</t>
        </is>
      </c>
      <c r="D19" s="2" t="inlineStr">
        <is>
          <t>core/src/gateway/server.rs</t>
        </is>
      </c>
      <c r="E19" s="2" t="inlineStr">
        <is>
          <t>268-271</t>
        </is>
      </c>
      <c r="F19" s="2" t="inlineStr">
        <is>
          <t>WS 收到无法解析的帧时 Err(_) =&gt; continue，静默丢弃且不记录任何日志</t>
        </is>
      </c>
      <c r="G19" s="2" t="inlineStr">
        <is>
          <t>改为 Err(e) =&gt; { tracing::warn!(...); continue; }</t>
        </is>
      </c>
      <c r="H19" s="2" t="inlineStr">
        <is>
          <t>cargo check -p marguerite-core 确认编译通过</t>
        </is>
      </c>
      <c r="I19" s="6" t="inlineStr">
        <is>
          <t>已修复</t>
        </is>
      </c>
    </row>
    <row r="20" ht="45" customHeight="1">
      <c r="A20" s="2" t="inlineStr">
        <is>
          <t>QA-019</t>
        </is>
      </c>
      <c r="B20" s="5" t="inlineStr">
        <is>
          <t>Warning</t>
        </is>
      </c>
      <c r="C20" s="2" t="inlineStr">
        <is>
          <t>后端缺陷</t>
        </is>
      </c>
      <c r="D20" s="2" t="inlineStr">
        <is>
          <t>core/src/gateway/server.rs</t>
        </is>
      </c>
      <c r="E20" s="2" t="inlineStr">
        <is>
          <t>272-279</t>
        </is>
      </c>
      <c r="F20" s="2" t="inlineStr">
        <is>
          <t>frame.type != 'req' 或空 id/method 时直接 continue，无日志记录</t>
        </is>
      </c>
      <c r="G20" s="2" t="inlineStr">
        <is>
          <t>添加 tracing::debug! 和 tracing::warn! 日志</t>
        </is>
      </c>
      <c r="H20" s="2" t="inlineStr">
        <is>
          <t>cargo check -p marguerite-core 确认编译通过</t>
        </is>
      </c>
      <c r="I20" s="6" t="inlineStr">
        <is>
          <t>已修复</t>
        </is>
      </c>
    </row>
    <row r="21" ht="45" customHeight="1">
      <c r="A21" s="2" t="inlineStr">
        <is>
          <t>QA-020</t>
        </is>
      </c>
      <c r="B21" s="5" t="inlineStr">
        <is>
          <t>Warning</t>
        </is>
      </c>
      <c r="C21" s="2" t="inlineStr">
        <is>
          <t>后端缺陷</t>
        </is>
      </c>
      <c r="D21" s="2" t="inlineStr">
        <is>
          <t>core/src/gateway/methods.rs</t>
        </is>
      </c>
      <c r="E21" s="2" t="inlineStr">
        <is>
          <t>507-518</t>
        </is>
      </c>
      <c r="F21" s="2" t="inlineStr">
        <is>
          <t>computer_use.action 参数解析：非字符串值用 v.to_string().trim_matches('"') 处理，会损坏嵌套 JSON 结构</t>
        </is>
      </c>
      <c r="G21" s="2" t="inlineStr">
        <is>
          <t>对非字符串值使用 serde_json::Value 原样传递而非 to_string+trim</t>
        </is>
      </c>
      <c r="H21" s="2" t="inlineStr">
        <is>
          <t>传入嵌套 JSON 对象作为 action 参数测试不被损坏</t>
        </is>
      </c>
      <c r="I21" s="4" t="inlineStr">
        <is>
          <t>待修复</t>
        </is>
      </c>
    </row>
    <row r="22" ht="45" customHeight="1">
      <c r="A22" s="2" t="inlineStr">
        <is>
          <t>QA-021</t>
        </is>
      </c>
      <c r="B22" s="5" t="inlineStr">
        <is>
          <t>Warning</t>
        </is>
      </c>
      <c r="C22" s="2" t="inlineStr">
        <is>
          <t>后端缺陷</t>
        </is>
      </c>
      <c r="D22" s="2" t="inlineStr">
        <is>
          <t>core/src/gateway/chat.rs</t>
        </is>
      </c>
      <c r="E22" s="2" t="inlineStr">
        <is>
          <t>268</t>
        </is>
      </c>
      <c r="F22" s="2" t="inlineStr">
        <is>
          <t>降级路径 ScheduleStore::open(None).expect() 仍有 panic 可能，且使用 eprintln! 而非 tracing</t>
        </is>
      </c>
      <c r="G22" s="2" t="inlineStr">
        <is>
          <t>eprintln! 替换为 tracing::warn!（expect 保留，因内存 SQLite 实际不会失败）</t>
        </is>
      </c>
      <c r="H22" s="2" t="inlineStr">
        <is>
          <t>cargo check -p marguerite-core 确认编译通过</t>
        </is>
      </c>
      <c r="I22" s="6" t="inlineStr">
        <is>
          <t>已修复</t>
        </is>
      </c>
    </row>
    <row r="23" ht="45" customHeight="1">
      <c r="A23" s="2" t="inlineStr">
        <is>
          <t>QA-022</t>
        </is>
      </c>
      <c r="B23" s="5" t="inlineStr">
        <is>
          <t>Warning</t>
        </is>
      </c>
      <c r="C23" s="2" t="inlineStr">
        <is>
          <t>后端缺陷</t>
        </is>
      </c>
      <c r="D23" s="2" t="inlineStr">
        <is>
          <t>core/src/gateway/chat.rs</t>
        </is>
      </c>
      <c r="E23" s="2" t="inlineStr">
        <is>
          <t>309</t>
        </is>
      </c>
      <c r="F23" s="2" t="inlineStr">
        <is>
          <t>降级路径 ProjectionStore::open(None).expect() 仍有 panic 可能，且使用 eprintln! 而非 tracing</t>
        </is>
      </c>
      <c r="G23" s="2" t="inlineStr">
        <is>
          <t>eprintln! 替换为 tracing::warn!（expect 保留，因内存 SQLite 实际不会失败）</t>
        </is>
      </c>
      <c r="H23" s="2" t="inlineStr">
        <is>
          <t>cargo check -p marguerite-core 确认编译通过</t>
        </is>
      </c>
      <c r="I23" s="6" t="inlineStr">
        <is>
          <t>已修复</t>
        </is>
      </c>
    </row>
    <row r="24" ht="45" customHeight="1">
      <c r="A24" s="2" t="inlineStr">
        <is>
          <t>QA-023</t>
        </is>
      </c>
      <c r="B24" s="5" t="inlineStr">
        <is>
          <t>Warning</t>
        </is>
      </c>
      <c r="C24" s="2" t="inlineStr">
        <is>
          <t>前后端契约</t>
        </is>
      </c>
      <c r="D24" s="2" t="inlineStr">
        <is>
          <t>webui/src/types/rpc.ts</t>
        </is>
      </c>
      <c r="E24" s="2" t="inlineStr">
        <is>
          <t>499-507</t>
        </is>
      </c>
      <c r="F24" s="2" t="inlineStr">
        <is>
          <t>SessionSteerV2Params 将 expected_turn_id/client_request_id/client_message_id 标记为 required，但后端将其视为 optional</t>
        </is>
      </c>
      <c r="G24" s="2" t="inlineStr">
        <is>
          <t>将三个字段改为 optional (添加 ?)</t>
        </is>
      </c>
      <c r="H24" s="2" t="inlineStr">
        <is>
          <t>npx vue-tsc --noEmit 确认类型检查通过</t>
        </is>
      </c>
      <c r="I24" s="6" t="inlineStr">
        <is>
          <t>已修复</t>
        </is>
      </c>
    </row>
    <row r="25" ht="45" customHeight="1">
      <c r="A25" s="2" t="inlineStr">
        <is>
          <t>QA-024</t>
        </is>
      </c>
      <c r="B25" s="7" t="inlineStr">
        <is>
          <t>Info</t>
        </is>
      </c>
      <c r="C25" s="2" t="inlineStr">
        <is>
          <t>后端日志</t>
        </is>
      </c>
      <c r="D25" s="2" t="inlineStr">
        <is>
          <t>core/src/gateway/chat.rs</t>
        </is>
      </c>
      <c r="E25" s="2" t="inlineStr">
        <is>
          <t>1291-1344</t>
        </is>
      </c>
      <c r="F25" s="2" t="inlineStr">
        <is>
          <t>事件桥 tokio::spawn 中使用 eprintln! 而非 tracing 宏，生产日志格式不统一</t>
        </is>
      </c>
      <c r="G25" s="2" t="inlineStr">
        <is>
          <t>替换为 tracing::warn! / tracing::info!</t>
        </is>
      </c>
      <c r="H25" s="2" t="inlineStr">
        <is>
          <t>grep 'eprintln!' chat.rs 确认已替换</t>
        </is>
      </c>
      <c r="I25" s="4" t="inlineStr">
        <is>
          <t>待修复</t>
        </is>
      </c>
    </row>
    <row r="26" ht="45" customHeight="1">
      <c r="A26" s="2" t="inlineStr">
        <is>
          <t>QA-025</t>
        </is>
      </c>
      <c r="B26" s="7" t="inlineStr">
        <is>
          <t>Info</t>
        </is>
      </c>
      <c r="C26" s="2" t="inlineStr">
        <is>
          <t>后端逻辑</t>
        </is>
      </c>
      <c r="D26" s="2" t="inlineStr">
        <is>
          <t>core/src/gateway/chat.rs</t>
        </is>
      </c>
      <c r="E26" s="2" t="inlineStr">
        <is>
          <t>1406-1408</t>
        </is>
      </c>
      <c r="F26" s="2" t="inlineStr">
        <is>
          <t>context_status 返回的 JSON 直接与字符串 'compact_required' 比较，未处理 JSON 解析失败情况</t>
        </is>
      </c>
      <c r="G26" s="2" t="inlineStr">
        <is>
          <t>使用 serde_json 解析后再比较，或添加 fallback 逻辑</t>
        </is>
      </c>
      <c r="H26" s="2" t="inlineStr">
        <is>
          <t>传入格式异常的 context_status 测试不 panic</t>
        </is>
      </c>
      <c r="I26" s="4" t="inlineStr">
        <is>
          <t>待修复</t>
        </is>
      </c>
    </row>
    <row r="27" ht="45" customHeight="1">
      <c r="A27" s="2" t="inlineStr">
        <is>
          <t>QA-026</t>
        </is>
      </c>
      <c r="B27" s="7" t="inlineStr">
        <is>
          <t>Info</t>
        </is>
      </c>
      <c r="C27" s="2" t="inlineStr">
        <is>
          <t>前端类型</t>
        </is>
      </c>
      <c r="D27" s="2" t="inlineStr">
        <is>
          <t>webui/src/types/rpc.ts</t>
        </is>
      </c>
      <c r="E27" s="2" t="inlineStr">
        <is>
          <t>547-561</t>
        </is>
      </c>
      <c r="F27" s="2" t="inlineStr">
        <is>
          <t>ChatHistoryAttachmentPayload 大量字段类型为 unknown，类型安全性不足</t>
        </is>
      </c>
      <c r="G27" s="2" t="inlineStr">
        <is>
          <t>根据实际数据结构定义具体类型</t>
        </is>
      </c>
      <c r="H27" s="2" t="inlineStr">
        <is>
          <t>npx vue-tsc --noEmit 确认无类型错误</t>
        </is>
      </c>
      <c r="I27" s="4" t="inlineStr">
        <is>
          <t>待修复</t>
        </is>
      </c>
    </row>
    <row r="28" ht="45" customHeight="1">
      <c r="A28" s="2" t="inlineStr">
        <is>
          <t>QA-027</t>
        </is>
      </c>
      <c r="B28" s="7" t="inlineStr">
        <is>
          <t>Info</t>
        </is>
      </c>
      <c r="C28" s="2" t="inlineStr">
        <is>
          <t>前端类型</t>
        </is>
      </c>
      <c r="D28" s="2" t="inlineStr">
        <is>
          <t>webui/src/types/rpc.ts</t>
        </is>
      </c>
      <c r="E28" s="2" t="inlineStr">
        <is>
          <t>582-588</t>
        </is>
      </c>
      <c r="F28" s="2" t="inlineStr">
        <is>
          <t>ChatHistoryMessage 中 input/output 等字段使用 unknown</t>
        </is>
      </c>
      <c r="G28" s="2" t="inlineStr">
        <is>
          <t>根据实际数据结构定义具体类型</t>
        </is>
      </c>
      <c r="H28" s="2" t="inlineStr">
        <is>
          <t>npx vue-tsc --noEmit 确认无类型错误</t>
        </is>
      </c>
      <c r="I28" s="4" t="inlineStr">
        <is>
          <t>待修复</t>
        </is>
      </c>
    </row>
    <row r="29" ht="45" customHeight="1">
      <c r="A29" s="2" t="inlineStr">
        <is>
          <t>QA-028</t>
        </is>
      </c>
      <c r="B29" s="7" t="inlineStr">
        <is>
          <t>Info</t>
        </is>
      </c>
      <c r="C29" s="2" t="inlineStr">
        <is>
          <t>前后端契约</t>
        </is>
      </c>
      <c r="D29" s="2" t="inlineStr">
        <is>
          <t>core/src/gateway/server.rs</t>
        </is>
      </c>
      <c r="E29" s="2" t="inlineStr">
        <is>
          <t>362-366</t>
        </is>
      </c>
      <c r="F29" s="2" t="inlineStr">
        <is>
          <t>Token 校验无 token 时默认放行（文档化行为）</t>
        </is>
      </c>
      <c r="G29" s="2" t="inlineStr">
        <is>
          <t>记录为设计决策（回环 only，无公网暴露）</t>
        </is>
      </c>
      <c r="H29" s="2" t="inlineStr">
        <is>
          <t>无需修复，确认 INV-1/INV-2 不变量生效</t>
        </is>
      </c>
      <c r="I29" s="8" t="inlineStr">
        <is>
          <t>设计决策</t>
        </is>
      </c>
    </row>
    <row r="30" ht="45" customHeight="1">
      <c r="A30" s="2" t="inlineStr">
        <is>
          <t>QA-029</t>
        </is>
      </c>
      <c r="B30" s="7" t="inlineStr">
        <is>
          <t>Info</t>
        </is>
      </c>
      <c r="C30" s="2" t="inlineStr">
        <is>
          <t>前后端契约</t>
        </is>
      </c>
      <c r="D30" s="2" t="inlineStr">
        <is>
          <t>webui/src/types/rpc.ts + core/src/gateway/chat.rs</t>
        </is>
      </c>
      <c r="E30" s="2" t="inlineStr">
        <is>
          <t>434-456 / 357-385</t>
        </is>
      </c>
      <c r="F30" s="2" t="inlineStr">
        <is>
          <t>ChatSendParams 额外前端字段 (_source/intent/collaborationMode 等) 后端未显式消费</t>
        </is>
      </c>
      <c r="G30" s="2" t="inlineStr">
        <is>
          <t>后端添加可选字段解析或前端移除未消费字段</t>
        </is>
      </c>
      <c r="H30" s="2" t="inlineStr">
        <is>
          <t>确认 JSON 解析容忍额外字段不报错</t>
        </is>
      </c>
      <c r="I30" s="4" t="inlineStr">
        <is>
          <t>待修复</t>
        </is>
      </c>
    </row>
    <row r="31" ht="45" customHeight="1">
      <c r="A31" s="2" t="inlineStr">
        <is>
          <t>QA-030</t>
        </is>
      </c>
      <c r="B31" s="7" t="inlineStr">
        <is>
          <t>Info</t>
        </is>
      </c>
      <c r="C31" s="2" t="inlineStr">
        <is>
          <t>前后端契约</t>
        </is>
      </c>
      <c r="D31" s="2" t="inlineStr">
        <is>
          <t>core/src/gateway/methods.rs</t>
        </is>
      </c>
      <c r="E31" s="2" t="inlineStr">
        <is>
          <t>362</t>
        </is>
      </c>
      <c r="F31" s="2" t="inlineStr">
        <is>
          <t>mode.stage 仅后端注册，前端未调用</t>
        </is>
      </c>
      <c r="G31" s="2" t="inlineStr">
        <is>
          <t>确认是否需要前端调用，或移除未使用的后端方法</t>
        </is>
      </c>
      <c r="H31" s="2" t="inlineStr">
        <is>
          <t>grep 'mode.stage' webui/src/ 确认调用点</t>
        </is>
      </c>
      <c r="I31" s="4" t="inlineStr">
        <is>
          <t>待修复</t>
        </is>
      </c>
    </row>
    <row r="32" ht="45" customHeight="1">
      <c r="A32" s="2" t="inlineStr">
        <is>
          <t>QA-031</t>
        </is>
      </c>
      <c r="B32" s="7" t="inlineStr">
        <is>
          <t>Info</t>
        </is>
      </c>
      <c r="C32" s="2" t="inlineStr">
        <is>
          <t>前后端契约</t>
        </is>
      </c>
      <c r="D32" s="2" t="inlineStr">
        <is>
          <t>webui/src/types/rpc.ts + webui/src/composables/chat/</t>
        </is>
      </c>
      <c r="E32" s="2" t="inlineStr">
        <is>
          <t>499-507 / 1389</t>
        </is>
      </c>
      <c r="F32" s="2" t="inlineStr">
        <is>
          <t>sessions.steer.v2 前端类型定义存在但调用点不明确（仅注释引用）</t>
        </is>
      </c>
      <c r="G32" s="2" t="inlineStr">
        <is>
          <t>确认 steer v2 是否已完整接线，或移除未使用的类型定义</t>
        </is>
      </c>
      <c r="H32" s="2" t="inlineStr">
        <is>
          <t>grep -r 'sessions.steer.v2' webui/src/ 确认调用点</t>
        </is>
      </c>
      <c r="I32" s="4" t="inlineStr">
        <is>
          <t>待修复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严重程度</t>
        </is>
      </c>
      <c r="B1" s="1" t="inlineStr">
        <is>
          <t>数量</t>
        </is>
      </c>
      <c r="C1" s="1" t="inlineStr">
        <is>
          <t>占比</t>
        </is>
      </c>
    </row>
    <row r="2">
      <c r="A2" s="9" t="inlineStr">
        <is>
          <t>Critical</t>
        </is>
      </c>
      <c r="B2" s="10" t="n">
        <v>2</v>
      </c>
      <c r="C2" s="11">
        <f>B2/31</f>
        <v/>
      </c>
    </row>
    <row r="3">
      <c r="A3" s="12" t="inlineStr">
        <is>
          <t>Warning</t>
        </is>
      </c>
      <c r="B3" s="10" t="n">
        <v>11</v>
      </c>
      <c r="C3" s="11">
        <f>B3/31</f>
        <v/>
      </c>
    </row>
    <row r="4">
      <c r="A4" s="13" t="inlineStr">
        <is>
          <t>Info</t>
        </is>
      </c>
      <c r="B4" s="10" t="n">
        <v>18</v>
      </c>
      <c r="C4" s="11">
        <f>B4/31</f>
        <v/>
      </c>
    </row>
    <row r="5">
      <c r="A5" s="14" t="inlineStr">
        <is>
          <t>合计</t>
        </is>
      </c>
      <c r="B5" s="14">
        <f>SUM(B2:B4)</f>
        <v/>
      </c>
      <c r="C5" s="15">
        <f>SUM(C2:C4)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修复状态</t>
        </is>
      </c>
      <c r="B1" s="1" t="inlineStr">
        <is>
          <t>数量</t>
        </is>
      </c>
      <c r="C1" s="1" t="inlineStr">
        <is>
          <t>占比</t>
        </is>
      </c>
    </row>
    <row r="2">
      <c r="A2" s="16" t="inlineStr">
        <is>
          <t>已修复</t>
        </is>
      </c>
      <c r="B2" s="10" t="n">
        <v>6</v>
      </c>
      <c r="C2" s="11">
        <f>B2/31</f>
        <v/>
      </c>
    </row>
    <row r="3">
      <c r="A3" s="17" t="inlineStr">
        <is>
          <t>待修复</t>
        </is>
      </c>
      <c r="B3" s="10" t="n">
        <v>23</v>
      </c>
      <c r="C3" s="11">
        <f>B3/31</f>
        <v/>
      </c>
    </row>
    <row r="4">
      <c r="A4" s="18" t="inlineStr">
        <is>
          <t>设计决策</t>
        </is>
      </c>
      <c r="B4" s="10" t="n">
        <v>2</v>
      </c>
      <c r="C4" s="11">
        <f>B4/31</f>
        <v/>
      </c>
    </row>
    <row r="5">
      <c r="A5" s="14" t="inlineStr">
        <is>
          <t>合计</t>
        </is>
      </c>
      <c r="B5" s="14">
        <f>SUM(B2:B4)</f>
        <v/>
      </c>
      <c r="C5" s="15">
        <f>SUM(C2:C4)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维度</t>
        </is>
      </c>
      <c r="B1" s="1" t="inlineStr">
        <is>
          <t>数量</t>
        </is>
      </c>
    </row>
    <row r="2">
      <c r="A2" s="10" t="inlineStr">
        <is>
          <t>Z-index</t>
        </is>
      </c>
      <c r="B2" s="10" t="n">
        <v>8</v>
      </c>
    </row>
    <row r="3">
      <c r="A3" s="10" t="inlineStr">
        <is>
          <t>后端缺陷</t>
        </is>
      </c>
      <c r="B3" s="10" t="n">
        <v>5</v>
      </c>
    </row>
    <row r="4">
      <c r="A4" s="10" t="inlineStr">
        <is>
          <t>前后端契约</t>
        </is>
      </c>
      <c r="B4" s="10" t="n">
        <v>5</v>
      </c>
    </row>
    <row r="5">
      <c r="A5" s="10" t="inlineStr">
        <is>
          <t>UI冗余</t>
        </is>
      </c>
      <c r="B5" s="10" t="n">
        <v>3</v>
      </c>
    </row>
    <row r="6">
      <c r="A6" s="10" t="inlineStr">
        <is>
          <t>CSS溢出</t>
        </is>
      </c>
      <c r="B6" s="10" t="n">
        <v>2</v>
      </c>
    </row>
    <row r="7">
      <c r="A7" s="10" t="inlineStr">
        <is>
          <t>前端类型</t>
        </is>
      </c>
      <c r="B7" s="10" t="n">
        <v>2</v>
      </c>
    </row>
    <row r="8">
      <c r="A8" s="10" t="inlineStr">
        <is>
          <t>CSS冗余</t>
        </is>
      </c>
      <c r="B8" s="10" t="n">
        <v>1</v>
      </c>
    </row>
    <row r="9">
      <c r="A9" s="10" t="inlineStr">
        <is>
          <t>CSS行高</t>
        </is>
      </c>
      <c r="B9" s="10" t="n">
        <v>1</v>
      </c>
    </row>
    <row r="10">
      <c r="A10" s="10" t="inlineStr">
        <is>
          <t>CSS字体</t>
        </is>
      </c>
      <c r="B10" s="10" t="n">
        <v>1</v>
      </c>
    </row>
    <row r="11">
      <c r="A11" s="10" t="inlineStr">
        <is>
          <t>UI架构</t>
        </is>
      </c>
      <c r="B11" s="10" t="n">
        <v>1</v>
      </c>
    </row>
    <row r="12">
      <c r="A12" s="10" t="inlineStr">
        <is>
          <t>后端日志</t>
        </is>
      </c>
      <c r="B12" s="10" t="n">
        <v>1</v>
      </c>
    </row>
    <row r="13">
      <c r="A13" s="10" t="inlineStr">
        <is>
          <t>后端逻辑</t>
        </is>
      </c>
      <c r="B13" s="10" t="n">
        <v>1</v>
      </c>
    </row>
    <row r="14">
      <c r="A14" s="14" t="inlineStr">
        <is>
          <t>合计</t>
        </is>
      </c>
      <c r="B14" s="14">
        <f>SUM(B2:B13)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2026-09-03T05:06:22Z</dcterms:created>
  <dcterms:modified xmlns:dcterms="http://purl.org/dc/terms/" xmlns:xsi="http://www.w3.org/2001/XMLSchema-instance" xsi:type="dcterms:W3CDTF">2026-09-03T05:06:22Z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95c93600-f833-4c34-b3b1-1dc1d31e0260","ReservedCode1":"72dafc97cd38b92e5f3d5cdfd0dfbbe6","ContentPropagator":"001191110000802100433B11010001191110000802100433B11010","PropagateID":"2faa28dc-3c8c-4907-a9c8-04c4d82f2865","ReservedCode2":"2734827274df537123a472bf4de01eb5"}</vt:lpwstr>
  </property>
</Properties>
</file>